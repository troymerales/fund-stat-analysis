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ean Data" sheetId="1" r:id="rId5"/>
  </sheets>
  <definedNames/>
  <calcPr/>
</workbook>
</file>

<file path=xl/sharedStrings.xml><?xml version="1.0" encoding="utf-8"?>
<sst xmlns="http://schemas.openxmlformats.org/spreadsheetml/2006/main" count="131" uniqueCount="55">
  <si>
    <t>No.</t>
  </si>
  <si>
    <t>Company Name / Investment Manager</t>
  </si>
  <si>
    <t>Fund Name</t>
  </si>
  <si>
    <t>Fund Type</t>
  </si>
  <si>
    <t>Investment Style</t>
  </si>
  <si>
    <t>Fund Return (YTD)</t>
  </si>
  <si>
    <t>Fund Return (2025)</t>
  </si>
  <si>
    <t>Benchmark Return</t>
  </si>
  <si>
    <t>Effective Period Change</t>
  </si>
  <si>
    <t>Actual (1-YR)</t>
  </si>
  <si>
    <t>Predicted</t>
  </si>
  <si>
    <t>Fund Size 2025</t>
  </si>
  <si>
    <t>Fund Size 2026</t>
  </si>
  <si>
    <t>Expense Ratio (%)</t>
  </si>
  <si>
    <t>Front / Rear Load (%)</t>
  </si>
  <si>
    <t>Fund Flow</t>
  </si>
  <si>
    <t>Flow Volatility (annualized)</t>
  </si>
  <si>
    <t>Boook to Market</t>
  </si>
  <si>
    <t>Momentum (Y2025 return)</t>
  </si>
  <si>
    <t>Fund Age (Years)</t>
  </si>
  <si>
    <t>Sun Life</t>
  </si>
  <si>
    <t>Canada Prosperity Bond Fund</t>
  </si>
  <si>
    <t>Mutual Fund</t>
  </si>
  <si>
    <t>Discretionary</t>
  </si>
  <si>
    <t>0.00%/0.00%</t>
  </si>
  <si>
    <t>First Metro Asset Management, Inc. (FAMI)</t>
  </si>
  <si>
    <t>First Metro Philippines Equity Exchange-Traded fund, Inc. (ETF)</t>
  </si>
  <si>
    <t>Quantitative</t>
  </si>
  <si>
    <t>First Metro Asset Management, Inc.</t>
  </si>
  <si>
    <t>First Metro Save and Learn Balanced Fund Inc.</t>
  </si>
  <si>
    <t>2.00%/1.00%</t>
  </si>
  <si>
    <t>First Metro Save and Learn Equity Fund, Inc.</t>
  </si>
  <si>
    <t>First Metro Save and Learn Money Market Fund, Inc.</t>
  </si>
  <si>
    <t>First Metro Save and Learn Philippine Index Fund, Inc.</t>
  </si>
  <si>
    <t>Philam Asset Management, Inc. (now ATRAM)</t>
  </si>
  <si>
    <t>Philam Strategic Growth Fund, Inc.</t>
  </si>
  <si>
    <t>ATRAM</t>
  </si>
  <si>
    <t>Philippine Balanced Fund</t>
  </si>
  <si>
    <t>Prosperity Dollar Abundance</t>
  </si>
  <si>
    <t>Prosperity Dollar Wellspring</t>
  </si>
  <si>
    <t>Prosperity Dynamic Fund</t>
  </si>
  <si>
    <t>Prosperity GS Fund</t>
  </si>
  <si>
    <t>Sun Life Asset Management Company, Inc.</t>
  </si>
  <si>
    <t xml:space="preserve">Sun Life of Canada Prosperity Balanced Fund, Inc. </t>
  </si>
  <si>
    <t>Sun Life of Canada Prosperity Philippine Equity Fund</t>
  </si>
  <si>
    <t>Sun Life Prosperity Achiever Fund 2038</t>
  </si>
  <si>
    <t>Sun Life Prosperity Achiever Fund 2048</t>
  </si>
  <si>
    <t>Sun Life Prosperity Dollar Advantage Fund, Inc</t>
  </si>
  <si>
    <t xml:space="preserve">Sun Life Prosperity Dollar Starter Fund </t>
  </si>
  <si>
    <t>`</t>
  </si>
  <si>
    <t>Sun Life Asset Management Company, Inc. (SLAMCI)</t>
  </si>
  <si>
    <t>Sun Life Prosperity Peso Starter Fund, Inc.</t>
  </si>
  <si>
    <t>Sun Life Prosperity World Voyager Fund</t>
  </si>
  <si>
    <t>Sun Life Prosperity World Equity Index Feeder Fund</t>
  </si>
  <si>
    <t>Sun Life Prosperity World Income Fund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</si>
</sst>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color rgb="FF666666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49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4" xfId="0" applyAlignment="1" applyBorder="1" applyFont="1" applyNumberFormat="1">
      <alignment horizontal="center" readingOrder="0" shrinkToFit="0" vertical="center" wrapText="0"/>
    </xf>
    <xf borderId="1" fillId="0" fontId="3" numFmtId="4" xfId="0" applyAlignment="1" applyBorder="1" applyFont="1" applyNumberFormat="1">
      <alignment horizontal="center" readingOrder="0" shrinkToFit="0" vertical="center" wrapText="0"/>
    </xf>
    <xf borderId="1" fillId="0" fontId="3" numFmtId="3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2" fillId="0" fontId="4" numFmtId="0" xfId="0" applyAlignment="1" applyBorder="1" applyFont="1">
      <alignment horizontal="center" readingOrder="0" shrinkToFit="0" vertical="top" wrapText="0"/>
    </xf>
    <xf borderId="1" fillId="0" fontId="3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lean Dat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T23" displayName="Table3" name="Table3" id="1">
  <tableColumns count="20">
    <tableColumn name="No." id="1"/>
    <tableColumn name="Company Name / Investment Manager" id="2"/>
    <tableColumn name="Fund Name" id="3"/>
    <tableColumn name="Fund Type" id="4"/>
    <tableColumn name="Investment Style" id="5"/>
    <tableColumn name="Fund Return (YTD)" id="6"/>
    <tableColumn name="Fund Return (2025)" id="7"/>
    <tableColumn name="Benchmark Return" id="8"/>
    <tableColumn name="Effective Period Change" id="9"/>
    <tableColumn name="Actual (1-YR)" id="10"/>
    <tableColumn name="Predicted" id="11"/>
    <tableColumn name="Fund Size 2025" id="12"/>
    <tableColumn name="Fund Size 2026" id="13"/>
    <tableColumn name="Expense Ratio (%)" id="14"/>
    <tableColumn name="Front / Rear Load (%)" id="15"/>
    <tableColumn name="Fund Flow" id="16"/>
    <tableColumn name="Flow Volatility (annualized)" id="17"/>
    <tableColumn name="Boook to Market" id="18"/>
    <tableColumn name="Momentum (Y2025 return)" id="19"/>
    <tableColumn name="Fund Age (Years)" id="20"/>
  </tableColumns>
  <tableStyleInfo name="Clean 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2" max="2" width="41.63"/>
    <col customWidth="1" min="3" max="3" width="48.63"/>
    <col customWidth="1" min="4" max="5" width="22.88"/>
    <col customWidth="1" min="6" max="6" width="21.63"/>
    <col customWidth="1" min="7" max="7" width="21.13"/>
    <col customWidth="1" min="8" max="8" width="21.38"/>
    <col customWidth="1" min="9" max="10" width="21.13"/>
    <col customWidth="1" min="12" max="13" width="25.63"/>
    <col customWidth="1" min="14" max="14" width="23.75"/>
    <col customWidth="1" min="15" max="15" width="21.0"/>
    <col customWidth="1" min="16" max="17" width="35.25"/>
    <col customWidth="1" min="18" max="18" width="22.0"/>
    <col customWidth="1" min="19" max="19" width="28.13"/>
    <col customWidth="1" min="20" max="20" width="29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2.5" customHeight="1">
      <c r="A2" s="4">
        <v>1.0</v>
      </c>
      <c r="B2" s="4" t="s">
        <v>20</v>
      </c>
      <c r="C2" s="4" t="s">
        <v>21</v>
      </c>
      <c r="D2" s="5" t="s">
        <v>22</v>
      </c>
      <c r="E2" s="5" t="s">
        <v>23</v>
      </c>
      <c r="F2" s="6">
        <v>0.0098</v>
      </c>
      <c r="G2" s="6">
        <v>0.0032</v>
      </c>
      <c r="H2" s="7">
        <v>0.0115</v>
      </c>
      <c r="I2" s="5">
        <v>1.0</v>
      </c>
      <c r="J2" s="5">
        <v>0.0091</v>
      </c>
      <c r="K2" s="5">
        <v>0.0081</v>
      </c>
      <c r="L2" s="8">
        <v>6.3811602312E9</v>
      </c>
      <c r="M2" s="8">
        <v>6.40178944521E9</v>
      </c>
      <c r="N2" s="7">
        <v>0.01</v>
      </c>
      <c r="O2" s="5" t="s">
        <v>24</v>
      </c>
      <c r="P2" s="5">
        <f t="shared" ref="P2:P23" si="1">(L2-M2)*-1</f>
        <v>20629214.01</v>
      </c>
      <c r="Q2" s="7">
        <v>0.0288</v>
      </c>
      <c r="R2" s="5">
        <v>1.0</v>
      </c>
      <c r="S2" s="7">
        <v>0.0295</v>
      </c>
      <c r="T2" s="5">
        <v>26.0</v>
      </c>
    </row>
    <row r="3" ht="22.5" customHeight="1">
      <c r="A3" s="4">
        <v>3.0</v>
      </c>
      <c r="B3" s="4" t="s">
        <v>25</v>
      </c>
      <c r="C3" s="4" t="s">
        <v>26</v>
      </c>
      <c r="D3" s="5" t="s">
        <v>22</v>
      </c>
      <c r="E3" s="5" t="s">
        <v>27</v>
      </c>
      <c r="F3" s="6">
        <v>0.0201</v>
      </c>
      <c r="G3" s="6">
        <v>0.0078</v>
      </c>
      <c r="H3" s="7">
        <v>-0.0729</v>
      </c>
      <c r="I3" s="5">
        <v>1.0</v>
      </c>
      <c r="J3" s="5">
        <v>-0.0185</v>
      </c>
      <c r="K3" s="5">
        <v>-0.0215</v>
      </c>
      <c r="L3" s="9">
        <v>1320090.0</v>
      </c>
      <c r="M3" s="9">
        <v>1.354317076E9</v>
      </c>
      <c r="N3" s="7">
        <v>0.005</v>
      </c>
      <c r="O3" s="5" t="s">
        <v>24</v>
      </c>
      <c r="P3" s="5">
        <f t="shared" si="1"/>
        <v>1352996986</v>
      </c>
      <c r="Q3" s="7">
        <v>0.1405</v>
      </c>
      <c r="R3" s="5">
        <v>0.9998</v>
      </c>
      <c r="S3" s="7">
        <v>0.092</v>
      </c>
      <c r="T3" s="5">
        <v>13.0</v>
      </c>
    </row>
    <row r="4" ht="22.5" customHeight="1">
      <c r="A4" s="4">
        <v>4.0</v>
      </c>
      <c r="B4" s="4" t="s">
        <v>28</v>
      </c>
      <c r="C4" s="4" t="s">
        <v>29</v>
      </c>
      <c r="D4" s="5" t="s">
        <v>22</v>
      </c>
      <c r="E4" s="5" t="s">
        <v>23</v>
      </c>
      <c r="F4" s="6">
        <v>0.0096</v>
      </c>
      <c r="G4" s="6">
        <v>0.0321</v>
      </c>
      <c r="H4" s="7">
        <v>0.0262</v>
      </c>
      <c r="I4" s="5">
        <v>1.0</v>
      </c>
      <c r="J4" s="5">
        <v>0.0304</v>
      </c>
      <c r="K4" s="5">
        <v>0.0284</v>
      </c>
      <c r="L4" s="10">
        <v>6.43077E8</v>
      </c>
      <c r="M4" s="10">
        <v>2.744518092E9</v>
      </c>
      <c r="N4" s="7">
        <v>0.01875</v>
      </c>
      <c r="O4" s="5" t="s">
        <v>30</v>
      </c>
      <c r="P4" s="5">
        <f t="shared" si="1"/>
        <v>2101441092</v>
      </c>
      <c r="Q4" s="7">
        <v>0.0512</v>
      </c>
      <c r="R4" s="5">
        <v>1.0</v>
      </c>
      <c r="S4" s="7">
        <v>0.0663</v>
      </c>
      <c r="T4" s="5">
        <v>19.0</v>
      </c>
    </row>
    <row r="5" ht="22.5" customHeight="1">
      <c r="A5" s="4">
        <v>5.0</v>
      </c>
      <c r="B5" s="4" t="s">
        <v>25</v>
      </c>
      <c r="C5" s="4" t="s">
        <v>31</v>
      </c>
      <c r="D5" s="5" t="s">
        <v>22</v>
      </c>
      <c r="E5" s="5" t="s">
        <v>23</v>
      </c>
      <c r="F5" s="6">
        <v>0.0128</v>
      </c>
      <c r="G5" s="6">
        <v>0.2554</v>
      </c>
      <c r="H5" s="7">
        <v>0.0446</v>
      </c>
      <c r="I5" s="5">
        <v>1.0</v>
      </c>
      <c r="J5" s="5">
        <v>0.0304</v>
      </c>
      <c r="K5" s="5">
        <v>0.0274</v>
      </c>
      <c r="L5" s="10">
        <v>4.1E9</v>
      </c>
      <c r="M5" s="10">
        <v>4.291884503E9</v>
      </c>
      <c r="N5" s="7">
        <v>0.0225</v>
      </c>
      <c r="O5" s="5" t="s">
        <v>30</v>
      </c>
      <c r="P5" s="5">
        <f t="shared" si="1"/>
        <v>191884503</v>
      </c>
      <c r="Q5" s="7">
        <v>0.1321</v>
      </c>
      <c r="R5" s="5">
        <v>1.0</v>
      </c>
      <c r="S5" s="7">
        <v>0.0897</v>
      </c>
      <c r="T5" s="5">
        <v>21.0</v>
      </c>
    </row>
    <row r="6" ht="22.5" customHeight="1">
      <c r="A6" s="4">
        <v>6.0</v>
      </c>
      <c r="B6" s="4" t="s">
        <v>25</v>
      </c>
      <c r="C6" s="4" t="s">
        <v>32</v>
      </c>
      <c r="D6" s="5" t="s">
        <v>22</v>
      </c>
      <c r="E6" s="5" t="s">
        <v>23</v>
      </c>
      <c r="F6" s="6">
        <v>0.0022</v>
      </c>
      <c r="G6" s="6">
        <v>0.0421</v>
      </c>
      <c r="H6" s="7">
        <v>0.041</v>
      </c>
      <c r="I6" s="5">
        <v>1.0</v>
      </c>
      <c r="J6" s="5">
        <v>0.0415</v>
      </c>
      <c r="K6" s="5">
        <v>0.0405</v>
      </c>
      <c r="L6" s="10">
        <v>2567059.0</v>
      </c>
      <c r="M6" s="10">
        <v>1.567432195E9</v>
      </c>
      <c r="N6" s="7">
        <v>0.005</v>
      </c>
      <c r="O6" s="5" t="s">
        <v>24</v>
      </c>
      <c r="P6" s="5">
        <f t="shared" si="1"/>
        <v>1564865136</v>
      </c>
      <c r="Q6" s="7">
        <v>0.1398</v>
      </c>
      <c r="R6" s="5">
        <v>1.0</v>
      </c>
      <c r="S6" s="7">
        <v>0.0415</v>
      </c>
      <c r="T6" s="5">
        <v>18.0</v>
      </c>
    </row>
    <row r="7" ht="22.5" customHeight="1">
      <c r="A7" s="4">
        <v>7.0</v>
      </c>
      <c r="B7" s="4" t="s">
        <v>25</v>
      </c>
      <c r="C7" s="4" t="s">
        <v>33</v>
      </c>
      <c r="D7" s="5" t="s">
        <v>22</v>
      </c>
      <c r="E7" s="5" t="s">
        <v>27</v>
      </c>
      <c r="F7" s="6">
        <v>0.0178</v>
      </c>
      <c r="G7" s="6">
        <v>0.0049</v>
      </c>
      <c r="H7" s="7">
        <v>-0.0729</v>
      </c>
      <c r="I7" s="5">
        <v>1.0</v>
      </c>
      <c r="J7" s="5">
        <v>-0.0192</v>
      </c>
      <c r="K7" s="5">
        <v>-0.0222</v>
      </c>
      <c r="L7" s="10">
        <v>8.5317E7</v>
      </c>
      <c r="M7" s="10">
        <v>1.29877431E9</v>
      </c>
      <c r="N7" s="7">
        <v>0.01</v>
      </c>
      <c r="O7" s="5" t="s">
        <v>24</v>
      </c>
      <c r="P7" s="5">
        <f t="shared" si="1"/>
        <v>1213457310</v>
      </c>
      <c r="Q7" s="7">
        <v>0.1398</v>
      </c>
      <c r="R7" s="5">
        <v>1.0</v>
      </c>
      <c r="S7" s="7">
        <v>0.0915</v>
      </c>
      <c r="T7" s="5">
        <v>22.0</v>
      </c>
    </row>
    <row r="8" ht="22.5" customHeight="1">
      <c r="A8" s="4">
        <v>9.0</v>
      </c>
      <c r="B8" s="4" t="s">
        <v>34</v>
      </c>
      <c r="C8" s="4" t="s">
        <v>35</v>
      </c>
      <c r="D8" s="5" t="s">
        <v>22</v>
      </c>
      <c r="E8" s="5" t="s">
        <v>23</v>
      </c>
      <c r="F8" s="6">
        <v>0.0182</v>
      </c>
      <c r="G8" s="6">
        <v>0.1849</v>
      </c>
      <c r="H8" s="7">
        <v>0.0405</v>
      </c>
      <c r="I8" s="5">
        <v>1.0</v>
      </c>
      <c r="J8" s="5">
        <v>0.0352</v>
      </c>
      <c r="K8" s="5">
        <v>0.0322</v>
      </c>
      <c r="L8" s="10">
        <v>2747021.0</v>
      </c>
      <c r="M8" s="10">
        <v>2.9875426E9</v>
      </c>
      <c r="N8" s="7">
        <v>0.02</v>
      </c>
      <c r="O8" s="5" t="s">
        <v>24</v>
      </c>
      <c r="P8" s="5">
        <f t="shared" si="1"/>
        <v>2984795579</v>
      </c>
      <c r="Q8" s="7">
        <v>0.0712</v>
      </c>
      <c r="R8" s="5">
        <v>1.0</v>
      </c>
      <c r="S8" s="11">
        <f>+3.4%</f>
        <v>0.034</v>
      </c>
      <c r="T8" s="5">
        <v>28.0</v>
      </c>
    </row>
    <row r="9" ht="22.5" customHeight="1">
      <c r="A9" s="4">
        <v>10.0</v>
      </c>
      <c r="B9" s="4" t="s">
        <v>36</v>
      </c>
      <c r="C9" s="4" t="s">
        <v>37</v>
      </c>
      <c r="D9" s="5" t="s">
        <v>22</v>
      </c>
      <c r="E9" s="5" t="s">
        <v>23</v>
      </c>
      <c r="F9" s="6">
        <v>0.0121</v>
      </c>
      <c r="G9" s="6">
        <v>0.0072</v>
      </c>
      <c r="H9" s="7">
        <v>0.0315</v>
      </c>
      <c r="I9" s="5">
        <v>1.0</v>
      </c>
      <c r="J9" s="5">
        <v>0.0338</v>
      </c>
      <c r="K9" s="5">
        <v>0.0318</v>
      </c>
      <c r="L9" s="10">
        <v>3.94069E8</v>
      </c>
      <c r="M9" s="10">
        <v>3.42066191E9</v>
      </c>
      <c r="N9" s="7">
        <v>0.0185</v>
      </c>
      <c r="O9" s="5" t="s">
        <v>30</v>
      </c>
      <c r="P9" s="5">
        <f t="shared" si="1"/>
        <v>3026592910</v>
      </c>
      <c r="Q9" s="7">
        <v>0.0585</v>
      </c>
      <c r="R9" s="5">
        <v>1.0</v>
      </c>
      <c r="S9" s="11">
        <f>+5.12%</f>
        <v>0.0512</v>
      </c>
      <c r="T9" s="5">
        <v>31.0</v>
      </c>
    </row>
    <row r="10" ht="22.5" customHeight="1">
      <c r="A10" s="4">
        <v>11.0</v>
      </c>
      <c r="B10" s="4" t="s">
        <v>20</v>
      </c>
      <c r="C10" s="4" t="s">
        <v>38</v>
      </c>
      <c r="D10" s="5" t="s">
        <v>22</v>
      </c>
      <c r="E10" s="5" t="s">
        <v>23</v>
      </c>
      <c r="F10" s="6">
        <v>0.0048</v>
      </c>
      <c r="G10" s="12">
        <v>0.0049</v>
      </c>
      <c r="H10" s="7">
        <v>0.0055</v>
      </c>
      <c r="I10" s="5">
        <v>1.0</v>
      </c>
      <c r="J10" s="5">
        <v>0.0032</v>
      </c>
      <c r="K10" s="5">
        <v>2.0E-4</v>
      </c>
      <c r="L10" s="8">
        <v>6845587.57</v>
      </c>
      <c r="M10" s="8">
        <v>6997574.76</v>
      </c>
      <c r="N10" s="7">
        <v>0.015</v>
      </c>
      <c r="O10" s="5" t="s">
        <v>30</v>
      </c>
      <c r="P10" s="5">
        <f t="shared" si="1"/>
        <v>151987.19</v>
      </c>
      <c r="Q10" s="7">
        <v>0.125</v>
      </c>
      <c r="R10" s="5">
        <v>1.0</v>
      </c>
      <c r="S10" s="7">
        <v>0.034</v>
      </c>
      <c r="T10" s="5">
        <v>21.0</v>
      </c>
    </row>
    <row r="11" ht="22.5" customHeight="1">
      <c r="A11" s="4">
        <v>12.0</v>
      </c>
      <c r="B11" s="4" t="s">
        <v>20</v>
      </c>
      <c r="C11" s="4" t="s">
        <v>39</v>
      </c>
      <c r="D11" s="5" t="s">
        <v>22</v>
      </c>
      <c r="E11" s="5" t="s">
        <v>23</v>
      </c>
      <c r="F11" s="6">
        <v>0.0075</v>
      </c>
      <c r="G11" s="12">
        <v>0.0077</v>
      </c>
      <c r="H11" s="7">
        <v>0.0245</v>
      </c>
      <c r="I11" s="5">
        <v>1.0</v>
      </c>
      <c r="J11" s="5">
        <v>0.0205</v>
      </c>
      <c r="K11" s="5">
        <v>0.0175</v>
      </c>
      <c r="L11" s="8">
        <v>2779451.17</v>
      </c>
      <c r="M11" s="8">
        <v>3754515.06</v>
      </c>
      <c r="N11" s="7">
        <v>0.0125</v>
      </c>
      <c r="O11" s="5" t="s">
        <v>24</v>
      </c>
      <c r="P11" s="5">
        <f t="shared" si="1"/>
        <v>975063.89</v>
      </c>
      <c r="Q11" s="7">
        <v>0.0302</v>
      </c>
      <c r="R11" s="5">
        <v>1.0</v>
      </c>
      <c r="S11" s="7">
        <v>0.0512</v>
      </c>
      <c r="T11" s="5">
        <v>10.0</v>
      </c>
    </row>
    <row r="12" ht="22.5" customHeight="1">
      <c r="A12" s="4">
        <v>13.0</v>
      </c>
      <c r="B12" s="4" t="s">
        <v>20</v>
      </c>
      <c r="C12" s="4" t="s">
        <v>40</v>
      </c>
      <c r="D12" s="5" t="s">
        <v>22</v>
      </c>
      <c r="E12" s="5" t="s">
        <v>23</v>
      </c>
      <c r="F12" s="6">
        <v>0.0088</v>
      </c>
      <c r="G12" s="12">
        <v>0.1282</v>
      </c>
      <c r="H12" s="7">
        <v>0.035</v>
      </c>
      <c r="I12" s="5">
        <v>1.0</v>
      </c>
      <c r="J12" s="5">
        <v>0.0415</v>
      </c>
      <c r="K12" s="5">
        <v>0.0385</v>
      </c>
      <c r="L12" s="8">
        <v>4.5429333867E8</v>
      </c>
      <c r="M12" s="8">
        <v>4.4659821084E8</v>
      </c>
      <c r="N12" s="7">
        <v>0.02</v>
      </c>
      <c r="O12" s="5" t="s">
        <v>24</v>
      </c>
      <c r="P12" s="5">
        <f t="shared" si="1"/>
        <v>-7695127.83</v>
      </c>
      <c r="Q12" s="7">
        <v>0.0025</v>
      </c>
      <c r="R12" s="5">
        <v>1.0</v>
      </c>
      <c r="S12" s="7">
        <v>0.0466</v>
      </c>
      <c r="T12" s="5">
        <v>12.0</v>
      </c>
    </row>
    <row r="13" ht="22.5" customHeight="1">
      <c r="A13" s="4">
        <v>14.0</v>
      </c>
      <c r="B13" s="4" t="s">
        <v>20</v>
      </c>
      <c r="C13" s="4" t="s">
        <v>41</v>
      </c>
      <c r="D13" s="5" t="s">
        <v>22</v>
      </c>
      <c r="E13" s="5" t="s">
        <v>23</v>
      </c>
      <c r="F13" s="6">
        <v>0.0032</v>
      </c>
      <c r="G13" s="12">
        <v>0.1282</v>
      </c>
      <c r="H13" s="7">
        <v>0.0105</v>
      </c>
      <c r="I13" s="5">
        <v>1.0</v>
      </c>
      <c r="J13" s="5">
        <v>0.0089</v>
      </c>
      <c r="K13" s="5">
        <v>0.0059</v>
      </c>
      <c r="L13" s="8">
        <v>1.4334282507E8</v>
      </c>
      <c r="M13" s="8">
        <v>1.442145277E8</v>
      </c>
      <c r="N13" s="7">
        <v>0.01</v>
      </c>
      <c r="O13" s="5" t="s">
        <v>24</v>
      </c>
      <c r="P13" s="5">
        <f t="shared" si="1"/>
        <v>871702.63</v>
      </c>
      <c r="Q13" s="7">
        <v>0.158</v>
      </c>
      <c r="R13" s="5">
        <v>1.0</v>
      </c>
      <c r="S13" s="7">
        <v>0.0406</v>
      </c>
      <c r="T13" s="5">
        <v>21.0</v>
      </c>
    </row>
    <row r="14" ht="22.5" customHeight="1">
      <c r="A14" s="4">
        <v>15.0</v>
      </c>
      <c r="B14" s="4" t="s">
        <v>42</v>
      </c>
      <c r="C14" s="4" t="s">
        <v>43</v>
      </c>
      <c r="D14" s="5" t="s">
        <v>22</v>
      </c>
      <c r="E14" s="5" t="s">
        <v>23</v>
      </c>
      <c r="F14" s="6">
        <v>0.0099</v>
      </c>
      <c r="G14" s="6">
        <v>0.0428</v>
      </c>
      <c r="H14" s="7">
        <v>0.0024</v>
      </c>
      <c r="I14" s="5">
        <v>1.0</v>
      </c>
      <c r="J14" s="5">
        <v>0.017</v>
      </c>
      <c r="K14" s="5">
        <v>0.015</v>
      </c>
      <c r="L14" s="8">
        <v>4.87862180836E9</v>
      </c>
      <c r="M14" s="8">
        <v>4.91213202727E9</v>
      </c>
      <c r="N14" s="7">
        <v>0.02</v>
      </c>
      <c r="O14" s="5" t="s">
        <v>24</v>
      </c>
      <c r="P14" s="5">
        <f t="shared" si="1"/>
        <v>33510218.91</v>
      </c>
      <c r="Q14" s="7">
        <v>0.073</v>
      </c>
      <c r="R14" s="5">
        <v>1.0</v>
      </c>
      <c r="S14" s="7">
        <v>0.0588</v>
      </c>
      <c r="T14" s="5">
        <v>26.0</v>
      </c>
    </row>
    <row r="15" ht="22.5" customHeight="1">
      <c r="A15" s="4">
        <v>16.0</v>
      </c>
      <c r="B15" s="13" t="s">
        <v>20</v>
      </c>
      <c r="C15" s="13" t="s">
        <v>44</v>
      </c>
      <c r="D15" s="5" t="s">
        <v>22</v>
      </c>
      <c r="E15" s="5" t="s">
        <v>23</v>
      </c>
      <c r="F15" s="14">
        <v>0.0168</v>
      </c>
      <c r="G15" s="14">
        <v>0.0027</v>
      </c>
      <c r="H15" s="15">
        <v>-0.0086</v>
      </c>
      <c r="I15" s="5">
        <v>1.0</v>
      </c>
      <c r="J15" s="16">
        <v>-0.0073</v>
      </c>
      <c r="K15" s="5">
        <v>-0.0103</v>
      </c>
      <c r="L15" s="9">
        <v>4.35847070189E9</v>
      </c>
      <c r="M15" s="9">
        <v>5.066872267E9</v>
      </c>
      <c r="N15" s="7">
        <v>0.02</v>
      </c>
      <c r="O15" s="5" t="s">
        <v>24</v>
      </c>
      <c r="P15" s="5">
        <f t="shared" si="1"/>
        <v>708401565.1</v>
      </c>
      <c r="Q15" s="7">
        <v>0.1425</v>
      </c>
      <c r="R15" s="5">
        <v>1.0</v>
      </c>
      <c r="S15" s="7">
        <v>0.0424</v>
      </c>
      <c r="T15" s="5">
        <v>26.0</v>
      </c>
    </row>
    <row r="16" ht="22.5" customHeight="1">
      <c r="A16" s="4">
        <v>18.0</v>
      </c>
      <c r="B16" s="13" t="s">
        <v>20</v>
      </c>
      <c r="C16" s="4" t="s">
        <v>45</v>
      </c>
      <c r="D16" s="5" t="s">
        <v>22</v>
      </c>
      <c r="E16" s="5" t="s">
        <v>23</v>
      </c>
      <c r="F16" s="14">
        <v>0.0129</v>
      </c>
      <c r="G16" s="14">
        <v>0.0061</v>
      </c>
      <c r="H16" s="15">
        <v>0.0425</v>
      </c>
      <c r="I16" s="5">
        <v>1.0</v>
      </c>
      <c r="J16" s="16">
        <v>0.0476</v>
      </c>
      <c r="K16" s="5">
        <v>0.0456</v>
      </c>
      <c r="L16" s="9">
        <v>5.157468586E7</v>
      </c>
      <c r="M16" s="9">
        <v>5.290540091E7</v>
      </c>
      <c r="N16" s="15">
        <v>0.015</v>
      </c>
      <c r="O16" s="16" t="s">
        <v>24</v>
      </c>
      <c r="P16" s="5">
        <f t="shared" si="1"/>
        <v>1330715.05</v>
      </c>
      <c r="Q16" s="15">
        <v>0.1045</v>
      </c>
      <c r="R16" s="5">
        <v>1.0</v>
      </c>
      <c r="S16" s="7">
        <v>0.0622</v>
      </c>
      <c r="T16" s="16">
        <v>7.0</v>
      </c>
    </row>
    <row r="17" ht="22.5" customHeight="1">
      <c r="A17" s="4">
        <v>19.0</v>
      </c>
      <c r="B17" s="13" t="s">
        <v>20</v>
      </c>
      <c r="C17" s="4" t="s">
        <v>46</v>
      </c>
      <c r="D17" s="5" t="s">
        <v>22</v>
      </c>
      <c r="E17" s="5" t="s">
        <v>23</v>
      </c>
      <c r="F17" s="14">
        <v>0.0139</v>
      </c>
      <c r="G17" s="14">
        <v>0.0057</v>
      </c>
      <c r="H17" s="15">
        <v>0.0442</v>
      </c>
      <c r="I17" s="5">
        <v>1.0</v>
      </c>
      <c r="J17" s="16">
        <v>0.0414</v>
      </c>
      <c r="K17" s="5">
        <v>0.0394</v>
      </c>
      <c r="L17" s="9">
        <v>4.687558367E7</v>
      </c>
      <c r="M17" s="9">
        <v>4.886019444E7</v>
      </c>
      <c r="N17" s="15">
        <v>0.015</v>
      </c>
      <c r="O17" s="16" t="s">
        <v>24</v>
      </c>
      <c r="P17" s="5">
        <f t="shared" si="1"/>
        <v>1984610.77</v>
      </c>
      <c r="Q17" s="15">
        <v>0.139</v>
      </c>
      <c r="R17" s="5">
        <v>1.0</v>
      </c>
      <c r="S17" s="7">
        <v>0.0773</v>
      </c>
      <c r="T17" s="16">
        <v>7.0</v>
      </c>
    </row>
    <row r="18" ht="22.5" customHeight="1">
      <c r="A18" s="4">
        <v>20.0</v>
      </c>
      <c r="B18" s="4" t="s">
        <v>42</v>
      </c>
      <c r="C18" s="4" t="s">
        <v>47</v>
      </c>
      <c r="D18" s="5" t="s">
        <v>22</v>
      </c>
      <c r="E18" s="5" t="s">
        <v>23</v>
      </c>
      <c r="F18" s="6">
        <v>0.0098</v>
      </c>
      <c r="G18" s="6">
        <v>0.2458</v>
      </c>
      <c r="H18" s="7">
        <v>0.0544</v>
      </c>
      <c r="I18" s="5">
        <v>1.0</v>
      </c>
      <c r="J18" s="5">
        <v>0.051</v>
      </c>
      <c r="K18" s="5">
        <v>0.048</v>
      </c>
      <c r="L18" s="8">
        <v>3.045411588E7</v>
      </c>
      <c r="M18" s="8">
        <v>3.116435704E7</v>
      </c>
      <c r="N18" s="7">
        <v>0.015</v>
      </c>
      <c r="O18" s="5" t="s">
        <v>24</v>
      </c>
      <c r="P18" s="5">
        <f t="shared" si="1"/>
        <v>710241.16</v>
      </c>
      <c r="Q18" s="7">
        <v>0.0955</v>
      </c>
      <c r="R18" s="5">
        <v>1.0</v>
      </c>
      <c r="S18" s="7">
        <v>0.1145</v>
      </c>
      <c r="T18" s="5">
        <v>24.0</v>
      </c>
    </row>
    <row r="19" ht="22.5" customHeight="1">
      <c r="A19" s="4">
        <v>21.0</v>
      </c>
      <c r="B19" s="4" t="s">
        <v>20</v>
      </c>
      <c r="C19" s="4" t="s">
        <v>48</v>
      </c>
      <c r="D19" s="5" t="s">
        <v>22</v>
      </c>
      <c r="E19" s="5" t="s">
        <v>23</v>
      </c>
      <c r="F19" s="6">
        <v>0.0014</v>
      </c>
      <c r="G19" s="6">
        <v>0.0024</v>
      </c>
      <c r="H19" s="7">
        <v>0.0395</v>
      </c>
      <c r="I19" s="5">
        <v>1.0</v>
      </c>
      <c r="J19" s="5">
        <v>0.0385</v>
      </c>
      <c r="K19" s="5">
        <v>0.0375</v>
      </c>
      <c r="L19" s="8">
        <v>2.398363698E7</v>
      </c>
      <c r="M19" s="8">
        <v>2.156797879E7</v>
      </c>
      <c r="N19" s="5" t="s">
        <v>49</v>
      </c>
      <c r="O19" s="5" t="s">
        <v>24</v>
      </c>
      <c r="P19" s="5">
        <f t="shared" si="1"/>
        <v>-2415658.19</v>
      </c>
      <c r="Q19" s="7">
        <v>0.0018</v>
      </c>
      <c r="R19" s="5">
        <v>1.0</v>
      </c>
      <c r="S19" s="7">
        <v>0.042</v>
      </c>
      <c r="T19" s="5">
        <v>9.0</v>
      </c>
    </row>
    <row r="20" ht="22.5" customHeight="1">
      <c r="A20" s="4">
        <v>22.0</v>
      </c>
      <c r="B20" s="4" t="s">
        <v>50</v>
      </c>
      <c r="C20" s="4" t="s">
        <v>51</v>
      </c>
      <c r="D20" s="5" t="s">
        <v>22</v>
      </c>
      <c r="E20" s="5" t="s">
        <v>23</v>
      </c>
      <c r="F20" s="6">
        <v>0.0023</v>
      </c>
      <c r="G20" s="6">
        <v>0.0033</v>
      </c>
      <c r="H20" s="7">
        <v>0.0418</v>
      </c>
      <c r="I20" s="5">
        <v>1.0</v>
      </c>
      <c r="J20" s="5">
        <v>0.0405</v>
      </c>
      <c r="K20" s="5">
        <v>0.0395</v>
      </c>
      <c r="L20" s="8">
        <v>1.2002E10</v>
      </c>
      <c r="M20" s="8">
        <v>1.012591384344E10</v>
      </c>
      <c r="N20" s="7">
        <v>0.0025</v>
      </c>
      <c r="O20" s="5" t="s">
        <v>24</v>
      </c>
      <c r="P20" s="5">
        <f t="shared" si="1"/>
        <v>-1876086157</v>
      </c>
      <c r="Q20" s="7">
        <v>0.0022</v>
      </c>
      <c r="R20" s="5">
        <v>1.0</v>
      </c>
      <c r="S20" s="17">
        <v>0.04</v>
      </c>
      <c r="T20" s="5">
        <v>22.0</v>
      </c>
    </row>
    <row r="21" ht="22.5" customHeight="1">
      <c r="A21" s="4">
        <v>23.0</v>
      </c>
      <c r="B21" s="4" t="s">
        <v>20</v>
      </c>
      <c r="C21" s="4" t="s">
        <v>52</v>
      </c>
      <c r="D21" s="5" t="s">
        <v>22</v>
      </c>
      <c r="E21" s="5" t="s">
        <v>23</v>
      </c>
      <c r="F21" s="6">
        <v>0.0112</v>
      </c>
      <c r="G21" s="6">
        <v>0.0145</v>
      </c>
      <c r="H21" s="7">
        <v>0.1512</v>
      </c>
      <c r="I21" s="5">
        <v>1.0</v>
      </c>
      <c r="J21" s="5">
        <v>0.1412</v>
      </c>
      <c r="K21" s="5">
        <v>0.1382</v>
      </c>
      <c r="L21" s="8">
        <v>3.740140136E7</v>
      </c>
      <c r="M21" s="8">
        <v>8.509444221E7</v>
      </c>
      <c r="N21" s="7">
        <v>0.015</v>
      </c>
      <c r="O21" s="5" t="s">
        <v>24</v>
      </c>
      <c r="P21" s="5">
        <f t="shared" si="1"/>
        <v>47693040.85</v>
      </c>
      <c r="Q21" s="7">
        <v>0.108</v>
      </c>
      <c r="R21" s="5">
        <v>1.0</v>
      </c>
      <c r="S21" s="7">
        <v>0.121</v>
      </c>
      <c r="T21" s="5">
        <v>10.0</v>
      </c>
    </row>
    <row r="22" ht="22.5" customHeight="1">
      <c r="A22" s="4">
        <v>24.0</v>
      </c>
      <c r="B22" s="13" t="s">
        <v>20</v>
      </c>
      <c r="C22" s="13" t="s">
        <v>53</v>
      </c>
      <c r="D22" s="5" t="s">
        <v>22</v>
      </c>
      <c r="E22" s="5" t="s">
        <v>23</v>
      </c>
      <c r="F22" s="14">
        <v>0.0067</v>
      </c>
      <c r="G22" s="14">
        <v>0.2388</v>
      </c>
      <c r="H22" s="15">
        <v>0.1582</v>
      </c>
      <c r="I22" s="5">
        <v>1.0</v>
      </c>
      <c r="J22" s="16">
        <v>0.153</v>
      </c>
      <c r="K22" s="5">
        <v>0.15</v>
      </c>
      <c r="L22" s="9">
        <v>6.67716567731E9</v>
      </c>
      <c r="M22" s="9">
        <v>7.57833196102E9</v>
      </c>
      <c r="N22" s="15">
        <v>0.02</v>
      </c>
      <c r="O22" s="16" t="s">
        <v>24</v>
      </c>
      <c r="P22" s="5">
        <f t="shared" si="1"/>
        <v>901166283.7</v>
      </c>
      <c r="Q22" s="15">
        <v>0.1465</v>
      </c>
      <c r="R22" s="5">
        <v>1.0</v>
      </c>
      <c r="S22" s="7">
        <v>0.203</v>
      </c>
      <c r="T22" s="16">
        <v>6.0</v>
      </c>
    </row>
    <row r="23" ht="22.5" customHeight="1">
      <c r="A23" s="4">
        <v>25.0</v>
      </c>
      <c r="B23" s="13" t="s">
        <v>20</v>
      </c>
      <c r="C23" s="13" t="s">
        <v>54</v>
      </c>
      <c r="D23" s="5" t="s">
        <v>22</v>
      </c>
      <c r="E23" s="5" t="s">
        <v>23</v>
      </c>
      <c r="F23" s="14">
        <v>0.0012</v>
      </c>
      <c r="G23" s="14">
        <v>0.0034</v>
      </c>
      <c r="H23" s="15">
        <v>0.0625</v>
      </c>
      <c r="I23" s="5">
        <v>1.0</v>
      </c>
      <c r="J23" s="16">
        <v>0.058</v>
      </c>
      <c r="K23" s="5">
        <v>0.057</v>
      </c>
      <c r="L23" s="9">
        <v>3.66158300005E9</v>
      </c>
      <c r="M23" s="9">
        <v>3.76087587965E9</v>
      </c>
      <c r="N23" s="15">
        <v>0.01</v>
      </c>
      <c r="O23" s="16" t="s">
        <v>24</v>
      </c>
      <c r="P23" s="5">
        <f t="shared" si="1"/>
        <v>99292879.6</v>
      </c>
      <c r="Q23" s="15">
        <v>0.0695</v>
      </c>
      <c r="R23" s="5">
        <v>1.0</v>
      </c>
      <c r="S23" s="7">
        <v>0.0346</v>
      </c>
      <c r="T23" s="16">
        <v>3.0</v>
      </c>
    </row>
  </sheetData>
  <drawing r:id="rId1"/>
  <tableParts count="1">
    <tablePart r:id="rId3"/>
  </tableParts>
</worksheet>
</file>